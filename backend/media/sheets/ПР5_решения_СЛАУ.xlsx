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9309C59-57AC-4C9E-8AA7-325EEB39425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C11" i="2" s="1"/>
  <c r="B10" i="2"/>
  <c r="D10" i="2"/>
  <c r="C10" i="2"/>
  <c r="G10" i="2" s="1"/>
  <c r="F10" i="2"/>
  <c r="A10" i="2"/>
  <c r="A16" i="1"/>
  <c r="B16" i="1"/>
  <c r="D17" i="1" s="1"/>
  <c r="H17" i="1" s="1"/>
  <c r="C16" i="1"/>
  <c r="D16" i="1"/>
  <c r="B17" i="1" s="1"/>
  <c r="F17" i="1" s="1"/>
  <c r="E16" i="1"/>
  <c r="G16" i="1"/>
  <c r="A11" i="1"/>
  <c r="B12" i="1" s="1"/>
  <c r="B11" i="1"/>
  <c r="D12" i="1" s="1"/>
  <c r="H12" i="1" s="1"/>
  <c r="C11" i="1"/>
  <c r="D11" i="1"/>
  <c r="E11" i="1"/>
  <c r="F11" i="1"/>
  <c r="I11" i="1" s="1"/>
  <c r="G11" i="1"/>
  <c r="H11" i="1"/>
  <c r="A12" i="1"/>
  <c r="E12" i="1"/>
  <c r="I10" i="1"/>
  <c r="H10" i="1"/>
  <c r="G10" i="1"/>
  <c r="F10" i="1"/>
  <c r="E10" i="1"/>
  <c r="D10" i="1"/>
  <c r="C10" i="1"/>
  <c r="B10" i="1"/>
  <c r="A10" i="1"/>
  <c r="G11" i="2" l="1"/>
  <c r="D11" i="2"/>
  <c r="F11" i="2"/>
  <c r="H10" i="2"/>
  <c r="E10" i="2"/>
  <c r="H11" i="2"/>
  <c r="A11" i="2"/>
  <c r="C17" i="1"/>
  <c r="G17" i="1" s="1"/>
  <c r="H16" i="1"/>
  <c r="A17" i="1"/>
  <c r="F16" i="1"/>
  <c r="I16" i="1" s="1"/>
  <c r="F12" i="1"/>
  <c r="C12" i="1"/>
  <c r="G12" i="1" s="1"/>
  <c r="I10" i="2" l="1"/>
  <c r="A12" i="2"/>
  <c r="E11" i="2"/>
  <c r="I11" i="2" s="1"/>
  <c r="C18" i="1"/>
  <c r="G18" i="1" s="1"/>
  <c r="E17" i="1"/>
  <c r="I17" i="1" s="1"/>
  <c r="D18" i="1"/>
  <c r="H18" i="1" s="1"/>
  <c r="A18" i="1"/>
  <c r="B18" i="1"/>
  <c r="F18" i="1" s="1"/>
  <c r="B13" i="1"/>
  <c r="F13" i="1" s="1"/>
  <c r="I12" i="1"/>
  <c r="C13" i="1"/>
  <c r="G13" i="1" s="1"/>
  <c r="A13" i="1"/>
  <c r="D13" i="1"/>
  <c r="H13" i="1" s="1"/>
  <c r="B12" i="2" l="1"/>
  <c r="F12" i="2" s="1"/>
  <c r="E12" i="2"/>
  <c r="B19" i="1"/>
  <c r="F19" i="1" s="1"/>
  <c r="C19" i="1"/>
  <c r="G19" i="1" s="1"/>
  <c r="E18" i="1"/>
  <c r="I18" i="1" s="1"/>
  <c r="D19" i="1"/>
  <c r="H19" i="1" s="1"/>
  <c r="A19" i="1"/>
  <c r="E13" i="1"/>
  <c r="I13" i="1" s="1"/>
  <c r="D14" i="1"/>
  <c r="H14" i="1" s="1"/>
  <c r="A14" i="1"/>
  <c r="B14" i="1"/>
  <c r="F14" i="1" s="1"/>
  <c r="C14" i="1"/>
  <c r="G14" i="1" s="1"/>
  <c r="C12" i="2" l="1"/>
  <c r="G12" i="2" s="1"/>
  <c r="A20" i="1"/>
  <c r="B20" i="1"/>
  <c r="F20" i="1" s="1"/>
  <c r="C20" i="1"/>
  <c r="G20" i="1" s="1"/>
  <c r="E19" i="1"/>
  <c r="I19" i="1" s="1"/>
  <c r="D20" i="1"/>
  <c r="H20" i="1" s="1"/>
  <c r="C15" i="1"/>
  <c r="G15" i="1" s="1"/>
  <c r="E14" i="1"/>
  <c r="I14" i="1" s="1"/>
  <c r="D15" i="1"/>
  <c r="H15" i="1" s="1"/>
  <c r="A15" i="1"/>
  <c r="E15" i="1" s="1"/>
  <c r="B15" i="1"/>
  <c r="F15" i="1" s="1"/>
  <c r="D12" i="2" l="1"/>
  <c r="E20" i="1"/>
  <c r="I20" i="1" s="1"/>
  <c r="I15" i="1"/>
  <c r="H12" i="2" l="1"/>
  <c r="I12" i="2" s="1"/>
  <c r="A13" i="2"/>
  <c r="B13" i="2" l="1"/>
  <c r="F13" i="2" s="1"/>
  <c r="C13" i="2"/>
  <c r="G13" i="2" s="1"/>
  <c r="D13" i="2"/>
  <c r="H13" i="2" s="1"/>
  <c r="E13" i="2"/>
  <c r="I13" i="2" l="1"/>
  <c r="A14" i="2"/>
  <c r="B14" i="2" l="1"/>
  <c r="F14" i="2" s="1"/>
  <c r="C14" i="2"/>
  <c r="G14" i="2" s="1"/>
  <c r="D14" i="2"/>
  <c r="H14" i="2" s="1"/>
  <c r="E14" i="2"/>
  <c r="I14" i="2" l="1"/>
  <c r="A15" i="2"/>
  <c r="B15" i="2" l="1"/>
  <c r="F15" i="2" s="1"/>
  <c r="E15" i="2"/>
  <c r="C15" i="2" l="1"/>
  <c r="G15" i="2" s="1"/>
  <c r="I15" i="2" s="1"/>
  <c r="D15" i="2"/>
  <c r="H15" i="2" s="1"/>
  <c r="A16" i="2" l="1"/>
  <c r="B16" i="2" l="1"/>
  <c r="F16" i="2" s="1"/>
  <c r="E16" i="2"/>
  <c r="C16" i="2" l="1"/>
  <c r="G16" i="2" s="1"/>
  <c r="D16" i="2" l="1"/>
  <c r="H16" i="2" s="1"/>
  <c r="I16" i="2" s="1"/>
</calcChain>
</file>

<file path=xl/sharedStrings.xml><?xml version="1.0" encoding="utf-8"?>
<sst xmlns="http://schemas.openxmlformats.org/spreadsheetml/2006/main" count="28" uniqueCount="15">
  <si>
    <t>Метод простой итерации</t>
  </si>
  <si>
    <t>А</t>
  </si>
  <si>
    <t>e=</t>
  </si>
  <si>
    <t>x1</t>
  </si>
  <si>
    <t>x2</t>
  </si>
  <si>
    <t>x3</t>
  </si>
  <si>
    <t>x4</t>
  </si>
  <si>
    <t>d1</t>
  </si>
  <si>
    <t>d2</t>
  </si>
  <si>
    <t>d3</t>
  </si>
  <si>
    <t>d4</t>
  </si>
  <si>
    <t>точн</t>
  </si>
  <si>
    <t>Вариант 7</t>
  </si>
  <si>
    <t>B</t>
  </si>
  <si>
    <t>Метод Зейделя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</si>
</sst>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>
      <selection sqref="A1:I20"/>
    </sheetView>
  </sheetViews>
  <sheetFormatPr defaultRowHeight="15" x14ac:dyDescent="0.25"/>
  <sheetData>
    <row r="1" spans="1:9" x14ac:dyDescent="0.25">
      <c r="A1" s="5" t="s">
        <v>0</v>
      </c>
      <c r="B1" s="1"/>
      <c r="C1" s="1"/>
      <c r="D1" s="1" t="s">
        <v>12</v>
      </c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 t="s">
        <v>13</v>
      </c>
      <c r="G2" s="1"/>
      <c r="H2" s="1"/>
      <c r="I2" s="1"/>
    </row>
    <row r="3" spans="1:9" x14ac:dyDescent="0.25">
      <c r="A3" s="1">
        <v>0.17</v>
      </c>
      <c r="B3" s="1">
        <v>0.31</v>
      </c>
      <c r="C3" s="1">
        <v>-0.18</v>
      </c>
      <c r="D3" s="1">
        <v>0.22</v>
      </c>
      <c r="E3" s="1"/>
      <c r="F3" s="1">
        <v>-1.71</v>
      </c>
      <c r="G3" s="1"/>
      <c r="H3" s="1"/>
      <c r="I3" s="1"/>
    </row>
    <row r="4" spans="1:9" x14ac:dyDescent="0.25">
      <c r="A4" s="1">
        <v>-0.21</v>
      </c>
      <c r="B4" s="1">
        <v>0.33</v>
      </c>
      <c r="C4" s="1">
        <v>0.22</v>
      </c>
      <c r="D4" s="1">
        <v>0</v>
      </c>
      <c r="E4" s="1"/>
      <c r="F4" s="1">
        <v>0.62</v>
      </c>
      <c r="G4" s="1"/>
      <c r="H4" s="1"/>
      <c r="I4" s="1"/>
    </row>
    <row r="5" spans="1:9" x14ac:dyDescent="0.25">
      <c r="A5" s="1">
        <v>0.32</v>
      </c>
      <c r="B5" s="1">
        <v>-0.18</v>
      </c>
      <c r="C5" s="1">
        <v>0.05</v>
      </c>
      <c r="D5" s="1">
        <v>-0.19</v>
      </c>
      <c r="E5" s="1"/>
      <c r="F5" s="1">
        <v>-0.89</v>
      </c>
      <c r="G5" s="1"/>
      <c r="H5" s="1"/>
      <c r="I5" s="1"/>
    </row>
    <row r="6" spans="1:9" x14ac:dyDescent="0.25">
      <c r="A6" s="1">
        <v>0.12</v>
      </c>
      <c r="B6" s="1">
        <v>0.28000000000000003</v>
      </c>
      <c r="C6" s="1">
        <v>-0.14000000000000001</v>
      </c>
      <c r="D6" s="1">
        <v>0</v>
      </c>
      <c r="E6" s="1"/>
      <c r="F6" s="1">
        <v>0.94</v>
      </c>
      <c r="G6" s="1"/>
      <c r="H6" s="1"/>
      <c r="I6" s="1"/>
    </row>
    <row r="8" spans="1:9" x14ac:dyDescent="0.25">
      <c r="A8" s="1" t="s">
        <v>3</v>
      </c>
      <c r="B8" s="1" t="s">
        <v>4</v>
      </c>
      <c r="C8" s="1" t="s">
        <v>5</v>
      </c>
      <c r="D8" s="1" t="s">
        <v>6</v>
      </c>
      <c r="E8" s="1"/>
      <c r="F8" s="1" t="s">
        <v>2</v>
      </c>
      <c r="G8" s="1">
        <v>1E-3</v>
      </c>
      <c r="H8" s="1"/>
      <c r="I8" s="1"/>
    </row>
    <row r="9" spans="1:9" x14ac:dyDescent="0.25">
      <c r="A9" s="1">
        <v>0</v>
      </c>
      <c r="B9" s="1">
        <v>0</v>
      </c>
      <c r="C9" s="1">
        <v>0</v>
      </c>
      <c r="D9" s="1">
        <v>0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</row>
    <row r="10" spans="1:9" x14ac:dyDescent="0.25">
      <c r="A10" s="1">
        <f>$F$3+$A$3*A9+$B$3*B9+$C$3*C9+$D$3*D9</f>
        <v>-1.71</v>
      </c>
      <c r="B10" s="1">
        <f>$F$4+$A$4*A9+$B$4*B9+$C$4*C9+$D$4*D9</f>
        <v>0.62</v>
      </c>
      <c r="C10" s="1">
        <f>$F$5+$A$5*A9+$B$5*B9+$C$5*C9+$D$5*D9</f>
        <v>-0.89</v>
      </c>
      <c r="D10" s="1">
        <f>$F$6+$A$6*A9+$B$6*B9+$C$6*C9+$D$6*D9</f>
        <v>0.94</v>
      </c>
      <c r="E10" s="1">
        <f>ABS(A10-A9)</f>
        <v>1.71</v>
      </c>
      <c r="F10" s="1">
        <f>ABS(B10-B9)</f>
        <v>0.62</v>
      </c>
      <c r="G10" s="1">
        <f>ABS(C10-C9)</f>
        <v>0.89</v>
      </c>
      <c r="H10" s="1">
        <f>ABS(D10-D9)</f>
        <v>0.94</v>
      </c>
      <c r="I10" s="1" t="str">
        <f>IF(AND(E10&lt;$G$8,F10&lt;$G$8,G10&lt;$G$8,H10&lt;$G$8),"вып","---")</f>
        <v>---</v>
      </c>
    </row>
    <row r="11" spans="1:9" x14ac:dyDescent="0.25">
      <c r="A11" s="1">
        <f t="shared" ref="A11:A16" si="0">$F$3+$A$3*A10+$B$3*B10+$C$3*C10+$D$3*D10</f>
        <v>-1.4415000000000004</v>
      </c>
      <c r="B11" s="1">
        <f t="shared" ref="B11:B16" si="1">$F$4+$A$4*A10+$B$4*B10+$C$4*C10+$D$4*D10</f>
        <v>0.9879</v>
      </c>
      <c r="C11" s="1">
        <f t="shared" ref="C11:C16" si="2">$F$5+$A$5*A10+$B$5*B10+$C$5*C10+$D$5*D10</f>
        <v>-1.7719</v>
      </c>
      <c r="D11" s="1">
        <f t="shared" ref="D11:D16" si="3">$F$6+$A$6*A10+$B$6*B10+$C$6*C10+$D$6*D10</f>
        <v>1.0329999999999999</v>
      </c>
      <c r="E11" s="1">
        <f t="shared" ref="E11:E16" si="4">ABS(A11-A10)</f>
        <v>0.26849999999999952</v>
      </c>
      <c r="F11" s="1">
        <f t="shared" ref="F11:F16" si="5">ABS(B11-B10)</f>
        <v>0.3679</v>
      </c>
      <c r="G11" s="1">
        <f t="shared" ref="G11:G16" si="6">ABS(C11-C10)</f>
        <v>0.88190000000000002</v>
      </c>
      <c r="H11" s="1">
        <f t="shared" ref="H11:H16" si="7">ABS(D11-D10)</f>
        <v>9.2999999999999972E-2</v>
      </c>
      <c r="I11" s="1" t="str">
        <f t="shared" ref="I11:I16" si="8">IF(AND(E11&lt;$G$8,F11&lt;$G$8,G11&lt;$G$8,H11&lt;$G$8),"вып","---")</f>
        <v>---</v>
      </c>
    </row>
    <row r="12" spans="1:9" x14ac:dyDescent="0.25">
      <c r="A12" s="1">
        <f t="shared" si="0"/>
        <v>-1.1026039999999999</v>
      </c>
      <c r="B12" s="1">
        <f t="shared" si="1"/>
        <v>0.85890400000000011</v>
      </c>
      <c r="C12" s="1">
        <f t="shared" si="2"/>
        <v>-1.8139669999999999</v>
      </c>
      <c r="D12" s="1">
        <f t="shared" si="3"/>
        <v>1.291698</v>
      </c>
      <c r="E12" s="1">
        <f t="shared" si="4"/>
        <v>0.33889600000000053</v>
      </c>
      <c r="F12" s="1">
        <f t="shared" si="5"/>
        <v>0.12899599999999989</v>
      </c>
      <c r="G12" s="1">
        <f t="shared" si="6"/>
        <v>4.2066999999999855E-2</v>
      </c>
      <c r="H12" s="1">
        <f t="shared" si="7"/>
        <v>0.25869800000000009</v>
      </c>
      <c r="I12" s="1" t="str">
        <f t="shared" si="8"/>
        <v>---</v>
      </c>
    </row>
    <row r="13" spans="1:9" x14ac:dyDescent="0.25">
      <c r="A13" s="1">
        <f t="shared" si="0"/>
        <v>-1.0204948199999999</v>
      </c>
      <c r="B13" s="1">
        <f t="shared" si="1"/>
        <v>0.73591242000000001</v>
      </c>
      <c r="C13" s="1">
        <f t="shared" si="2"/>
        <v>-1.73355697</v>
      </c>
      <c r="D13" s="1">
        <f t="shared" si="3"/>
        <v>1.3021360200000001</v>
      </c>
      <c r="E13" s="1">
        <f t="shared" si="4"/>
        <v>8.2109180000000004E-2</v>
      </c>
      <c r="F13" s="1">
        <f t="shared" si="5"/>
        <v>0.1229915800000001</v>
      </c>
      <c r="G13" s="1">
        <f t="shared" si="6"/>
        <v>8.041002999999991E-2</v>
      </c>
      <c r="H13" s="1">
        <f t="shared" si="7"/>
        <v>1.0438020000000048E-2</v>
      </c>
      <c r="I13" s="1" t="str">
        <f t="shared" si="8"/>
        <v>---</v>
      </c>
    </row>
    <row r="14" spans="1:9" x14ac:dyDescent="0.25">
      <c r="A14" s="1">
        <f t="shared" si="0"/>
        <v>-1.0568410902000001</v>
      </c>
      <c r="B14" s="1">
        <f t="shared" si="1"/>
        <v>0.69577247740000003</v>
      </c>
      <c r="C14" s="1">
        <f t="shared" si="2"/>
        <v>-1.6831062702999999</v>
      </c>
      <c r="D14" s="1">
        <f t="shared" si="3"/>
        <v>1.266294075</v>
      </c>
      <c r="E14" s="1">
        <f t="shared" si="4"/>
        <v>3.6346270200000141E-2</v>
      </c>
      <c r="F14" s="1">
        <f t="shared" si="5"/>
        <v>4.0139942599999978E-2</v>
      </c>
      <c r="G14" s="1">
        <f t="shared" si="6"/>
        <v>5.0450699700000046E-2</v>
      </c>
      <c r="H14" s="1">
        <f t="shared" si="7"/>
        <v>3.5841945000000042E-2</v>
      </c>
      <c r="I14" s="1" t="str">
        <f t="shared" si="8"/>
        <v>---</v>
      </c>
    </row>
    <row r="15" spans="1:9" x14ac:dyDescent="0.25">
      <c r="A15" s="1">
        <f t="shared" si="0"/>
        <v>-1.0924296921859999</v>
      </c>
      <c r="B15" s="1">
        <f t="shared" si="1"/>
        <v>0.70125816701800014</v>
      </c>
      <c r="C15" s="1">
        <f t="shared" si="2"/>
        <v>-1.6781793825610001</v>
      </c>
      <c r="D15" s="1">
        <f t="shared" si="3"/>
        <v>1.2436302406899999</v>
      </c>
      <c r="E15" s="1">
        <f t="shared" si="4"/>
        <v>3.558860198599989E-2</v>
      </c>
      <c r="F15" s="1">
        <f t="shared" si="5"/>
        <v>5.4856896180001113E-3</v>
      </c>
      <c r="G15" s="1">
        <f t="shared" si="6"/>
        <v>4.9268877389998522E-3</v>
      </c>
      <c r="H15" s="1">
        <f t="shared" si="7"/>
        <v>2.2663834310000075E-2</v>
      </c>
      <c r="I15" s="1" t="str">
        <f t="shared" si="8"/>
        <v>---</v>
      </c>
    </row>
    <row r="16" spans="1:9" x14ac:dyDescent="0.25">
      <c r="A16" s="1">
        <f t="shared" si="0"/>
        <v>-1.1026520740832599</v>
      </c>
      <c r="B16" s="1">
        <f t="shared" si="1"/>
        <v>0.71162596631158004</v>
      </c>
      <c r="C16" s="1">
        <f t="shared" si="2"/>
        <v>-1.68600268642191</v>
      </c>
      <c r="D16" s="1">
        <f t="shared" si="3"/>
        <v>1.2402058372612601</v>
      </c>
      <c r="E16" s="1">
        <f t="shared" si="4"/>
        <v>1.0222381897259991E-2</v>
      </c>
      <c r="F16" s="1">
        <f t="shared" si="5"/>
        <v>1.0367799293579893E-2</v>
      </c>
      <c r="G16" s="1">
        <f t="shared" si="6"/>
        <v>7.8233038609099026E-3</v>
      </c>
      <c r="H16" s="1">
        <f t="shared" si="7"/>
        <v>3.4244034287398417E-3</v>
      </c>
      <c r="I16" s="1" t="str">
        <f t="shared" si="8"/>
        <v>---</v>
      </c>
    </row>
    <row r="17" spans="1:9" x14ac:dyDescent="0.25">
      <c r="A17" s="1">
        <f t="shared" ref="A17:A20" si="9">$F$3+$A$3*A16+$B$3*B16+$C$3*C16+$D$3*D16</f>
        <v>-1.1005210352841437</v>
      </c>
      <c r="B17" s="1">
        <f t="shared" ref="B17:B20" si="10">$F$4+$A$4*A16+$B$4*B16+$C$4*C16+$D$4*D16</f>
        <v>0.71547291342748576</v>
      </c>
      <c r="C17" s="1">
        <f t="shared" ref="C17:C20" si="11">$F$5+$A$5*A16+$B$5*B16+$C$5*C16+$D$5*D16</f>
        <v>-1.6908805810434626</v>
      </c>
      <c r="D17" s="1">
        <f t="shared" ref="D17:D20" si="12">$F$6+$A$6*A16+$B$6*B16+$C$6*C16+$D$6*D16</f>
        <v>1.2429773977763185</v>
      </c>
      <c r="E17" s="1">
        <f t="shared" ref="E17:E20" si="13">ABS(A17-A16)</f>
        <v>2.1310387991162472E-3</v>
      </c>
      <c r="F17" s="1">
        <f t="shared" ref="F17:F20" si="14">ABS(B17-B16)</f>
        <v>3.8469471159057189E-3</v>
      </c>
      <c r="G17" s="1">
        <f t="shared" ref="G17:G20" si="15">ABS(C17-C16)</f>
        <v>4.8778946215526364E-3</v>
      </c>
      <c r="H17" s="1">
        <f t="shared" ref="H17:H20" si="16">ABS(D17-D16)</f>
        <v>2.7715605150584466E-3</v>
      </c>
      <c r="I17" s="1" t="str">
        <f t="shared" ref="I17:I20" si="17">IF(AND(E17&lt;$G$8,F17&lt;$G$8,G17&lt;$G$8,H17&lt;$G$8),"вып","---")</f>
        <v>---</v>
      </c>
    </row>
    <row r="18" spans="1:9" x14ac:dyDescent="0.25">
      <c r="A18" s="1">
        <f t="shared" si="9"/>
        <v>-1.0974784407371707</v>
      </c>
      <c r="B18" s="1">
        <f t="shared" si="10"/>
        <v>0.71522175101117869</v>
      </c>
      <c r="C18" s="1">
        <f t="shared" si="11"/>
        <v>-1.6916615903375469</v>
      </c>
      <c r="D18" s="1">
        <f t="shared" si="12"/>
        <v>1.2449931728716837</v>
      </c>
      <c r="E18" s="1">
        <f t="shared" si="13"/>
        <v>3.0425945469729765E-3</v>
      </c>
      <c r="F18" s="1">
        <f t="shared" si="14"/>
        <v>2.5116241630707137E-4</v>
      </c>
      <c r="G18" s="1">
        <f t="shared" si="15"/>
        <v>7.8100929408431163E-4</v>
      </c>
      <c r="H18" s="1">
        <f t="shared" si="16"/>
        <v>2.0157750953651021E-3</v>
      </c>
      <c r="I18" s="1" t="str">
        <f t="shared" si="17"/>
        <v>---</v>
      </c>
    </row>
    <row r="19" spans="1:9" ht="15.75" thickBot="1" x14ac:dyDescent="0.3">
      <c r="A19" s="1">
        <f t="shared" si="9"/>
        <v>-1.0964550078193247</v>
      </c>
      <c r="B19" s="1">
        <f t="shared" si="10"/>
        <v>0.71432810051423445</v>
      </c>
      <c r="C19" s="1">
        <f t="shared" si="11"/>
        <v>-1.6910647985804041</v>
      </c>
      <c r="D19" s="1">
        <f t="shared" si="12"/>
        <v>1.2453973000419261</v>
      </c>
      <c r="E19" s="1">
        <f t="shared" si="13"/>
        <v>1.0234329178460122E-3</v>
      </c>
      <c r="F19" s="1">
        <f t="shared" si="14"/>
        <v>8.936504969442316E-4</v>
      </c>
      <c r="G19" s="1">
        <f t="shared" si="15"/>
        <v>5.9679175714277832E-4</v>
      </c>
      <c r="H19" s="1">
        <f t="shared" si="16"/>
        <v>4.0412717024240763E-4</v>
      </c>
      <c r="I19" s="1" t="str">
        <f t="shared" si="17"/>
        <v>---</v>
      </c>
    </row>
    <row r="20" spans="1:9" ht="15.75" thickBot="1" x14ac:dyDescent="0.3">
      <c r="A20" s="2">
        <f t="shared" si="9"/>
        <v>-1.0965765704161758</v>
      </c>
      <c r="B20" s="3">
        <f t="shared" si="10"/>
        <v>0.71394956912406671</v>
      </c>
      <c r="C20" s="3">
        <f t="shared" si="11"/>
        <v>-1.6906233875317325</v>
      </c>
      <c r="D20" s="4">
        <f t="shared" si="12"/>
        <v>1.2451863390069233</v>
      </c>
      <c r="E20" s="1">
        <f t="shared" si="13"/>
        <v>1.2156259685114357E-4</v>
      </c>
      <c r="F20" s="1">
        <f t="shared" si="14"/>
        <v>3.7853139016774673E-4</v>
      </c>
      <c r="G20" s="1">
        <f t="shared" si="15"/>
        <v>4.4141104867168046E-4</v>
      </c>
      <c r="H20" s="1">
        <f t="shared" si="16"/>
        <v>2.1096103500273244E-4</v>
      </c>
      <c r="I20" s="1" t="str">
        <f t="shared" si="17"/>
        <v>вып</v>
      </c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BB01-EBE6-466F-8790-8DC24387A9AF}">
  <dimension ref="A1:K20"/>
  <sheetViews>
    <sheetView tabSelected="1" workbookViewId="0">
      <selection activeCell="H19" sqref="H19"/>
    </sheetView>
  </sheetViews>
  <sheetFormatPr defaultRowHeight="15" x14ac:dyDescent="0.25"/>
  <sheetData>
    <row r="1" spans="1:11" x14ac:dyDescent="0.25">
      <c r="A1" s="5" t="s">
        <v>14</v>
      </c>
      <c r="B1" s="1"/>
      <c r="C1" s="1"/>
      <c r="D1" s="1" t="s">
        <v>12</v>
      </c>
      <c r="E1" s="1"/>
      <c r="F1" s="1"/>
      <c r="G1" s="1"/>
      <c r="H1" s="1"/>
      <c r="I1" s="1"/>
    </row>
    <row r="2" spans="1:11" x14ac:dyDescent="0.25">
      <c r="A2" s="1" t="s">
        <v>1</v>
      </c>
      <c r="B2" s="1"/>
      <c r="C2" s="1"/>
      <c r="D2" s="1"/>
      <c r="E2" s="1"/>
      <c r="F2" s="1" t="s">
        <v>13</v>
      </c>
      <c r="G2" s="1"/>
      <c r="H2" s="1"/>
      <c r="I2" s="1"/>
    </row>
    <row r="3" spans="1:11" x14ac:dyDescent="0.25">
      <c r="A3" s="1">
        <v>0.17</v>
      </c>
      <c r="B3" s="1">
        <v>0.31</v>
      </c>
      <c r="C3" s="1">
        <v>-0.18</v>
      </c>
      <c r="D3" s="1">
        <v>0.22</v>
      </c>
      <c r="E3" s="1"/>
      <c r="F3" s="1">
        <v>-1.71</v>
      </c>
      <c r="G3" s="1"/>
      <c r="H3" s="1"/>
      <c r="I3" s="1"/>
      <c r="J3" s="7"/>
    </row>
    <row r="4" spans="1:11" x14ac:dyDescent="0.25">
      <c r="A4" s="1">
        <v>-0.21</v>
      </c>
      <c r="B4" s="1">
        <v>0.33</v>
      </c>
      <c r="C4" s="1">
        <v>0.22</v>
      </c>
      <c r="D4" s="1">
        <v>0</v>
      </c>
      <c r="E4" s="1"/>
      <c r="F4" s="1">
        <v>0.62</v>
      </c>
      <c r="G4" s="1"/>
      <c r="H4" s="1"/>
      <c r="I4" s="1"/>
    </row>
    <row r="5" spans="1:11" x14ac:dyDescent="0.25">
      <c r="A5" s="1">
        <v>0.32</v>
      </c>
      <c r="B5" s="1">
        <v>-0.18</v>
      </c>
      <c r="C5" s="1">
        <v>0.05</v>
      </c>
      <c r="D5" s="1">
        <v>-0.19</v>
      </c>
      <c r="E5" s="1"/>
      <c r="F5" s="1">
        <v>-0.89</v>
      </c>
      <c r="G5" s="1"/>
      <c r="H5" s="1"/>
      <c r="I5" s="1"/>
    </row>
    <row r="6" spans="1:11" x14ac:dyDescent="0.25">
      <c r="A6" s="1">
        <v>0.12</v>
      </c>
      <c r="B6" s="1">
        <v>0.28000000000000003</v>
      </c>
      <c r="C6" s="1">
        <v>-0.14000000000000001</v>
      </c>
      <c r="D6" s="1">
        <v>0</v>
      </c>
      <c r="E6" s="1"/>
      <c r="F6" s="1">
        <v>0.94</v>
      </c>
      <c r="G6" s="1"/>
      <c r="H6" s="1"/>
      <c r="I6" s="1"/>
    </row>
    <row r="8" spans="1:11" x14ac:dyDescent="0.25">
      <c r="A8" s="1" t="s">
        <v>3</v>
      </c>
      <c r="B8" s="1" t="s">
        <v>4</v>
      </c>
      <c r="C8" s="1" t="s">
        <v>5</v>
      </c>
      <c r="D8" s="1" t="s">
        <v>6</v>
      </c>
      <c r="E8" s="1"/>
      <c r="F8" s="1" t="s">
        <v>2</v>
      </c>
      <c r="G8" s="1">
        <v>1E-3</v>
      </c>
      <c r="H8" s="1"/>
      <c r="I8" s="1"/>
    </row>
    <row r="9" spans="1:11" x14ac:dyDescent="0.25">
      <c r="A9" s="1">
        <v>0</v>
      </c>
      <c r="B9" s="1">
        <v>0</v>
      </c>
      <c r="C9" s="1">
        <v>0</v>
      </c>
      <c r="D9" s="1">
        <v>0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</row>
    <row r="10" spans="1:11" x14ac:dyDescent="0.25">
      <c r="A10" s="1">
        <f>$F$3+$A$3*A9+$B$3*B9+$C$3*C9+$D$3*D9</f>
        <v>-1.71</v>
      </c>
      <c r="B10" s="1">
        <f>$F$4+$A$4*A10+$B$4*B9+$C$4*C9+$D$4*D9</f>
        <v>0.97909999999999997</v>
      </c>
      <c r="C10" s="1">
        <f>$F$5+$A$5*A10+$B$5*B10+$C$5*C9+$D$5*D9</f>
        <v>-1.6134379999999999</v>
      </c>
      <c r="D10" s="1">
        <f>$F$6+$A$6*A10+$B$6*B10+$C$6*C10+$D$6*D9</f>
        <v>1.23482932</v>
      </c>
      <c r="E10" s="1">
        <f>ABS(A10-A9)</f>
        <v>1.71</v>
      </c>
      <c r="F10" s="1">
        <f>ABS(B10-B9)</f>
        <v>0.97909999999999997</v>
      </c>
      <c r="G10" s="1">
        <f>ABS(C10-C9)</f>
        <v>1.6134379999999999</v>
      </c>
      <c r="H10" s="1">
        <f>ABS(D10-D9)</f>
        <v>1.23482932</v>
      </c>
      <c r="I10" s="1" t="str">
        <f>IF(AND(E10&lt;$G$8,F10&lt;$G$8,G10&lt;$G$8,H10&lt;$G$8),"вып","---")</f>
        <v>---</v>
      </c>
      <c r="K10" s="7"/>
    </row>
    <row r="11" spans="1:11" x14ac:dyDescent="0.25">
      <c r="A11" s="1">
        <f t="shared" ref="A11:A20" si="0">$F$3+$A$3*A10+$B$3*B10+$C$3*C10+$D$3*D10</f>
        <v>-1.1350977096000001</v>
      </c>
      <c r="B11" s="1">
        <f t="shared" ref="B11:B20" si="1">$F$4+$A$4*A11+$B$4*B10+$C$4*C10+$D$4*D10</f>
        <v>0.82651715901599998</v>
      </c>
      <c r="C11" s="1">
        <f t="shared" ref="C11:C20" si="2">$F$5+$A$5*A11+$B$5*B11+$C$5*C10+$D$5*D10</f>
        <v>-1.71729382649488</v>
      </c>
      <c r="D11" s="1">
        <f t="shared" ref="D11:D20" si="3">$F$6+$A$6*A11+$B$6*B11+$C$6*C11+$D$6*D10</f>
        <v>1.2756342150817632</v>
      </c>
      <c r="E11" s="1">
        <f t="shared" ref="E11:H20" si="4">ABS(A11-A10)</f>
        <v>0.57490229039999985</v>
      </c>
      <c r="F11" s="1">
        <f t="shared" si="4"/>
        <v>0.15258284098399999</v>
      </c>
      <c r="G11" s="1">
        <f t="shared" si="4"/>
        <v>0.10385582649488012</v>
      </c>
      <c r="H11" s="1">
        <f t="shared" si="4"/>
        <v>4.0804895081763215E-2</v>
      </c>
      <c r="I11" s="1" t="str">
        <f t="shared" ref="I11:I20" si="5">IF(AND(E11&lt;$G$8,F11&lt;$G$8,G11&lt;$G$8,H11&lt;$G$8),"вып","---")</f>
        <v>---</v>
      </c>
    </row>
    <row r="12" spans="1:11" x14ac:dyDescent="0.25">
      <c r="A12" s="1">
        <f t="shared" si="0"/>
        <v>-1.0569938752499737</v>
      </c>
      <c r="B12" s="1">
        <f t="shared" si="1"/>
        <v>0.73691473444890088</v>
      </c>
      <c r="C12" s="1">
        <f t="shared" si="2"/>
        <v>-1.6891178844710728</v>
      </c>
      <c r="D12" s="1">
        <f t="shared" si="3"/>
        <v>1.2559733644416455</v>
      </c>
      <c r="E12" s="1">
        <f t="shared" si="4"/>
        <v>7.8103834350026435E-2</v>
      </c>
      <c r="F12" s="1">
        <f t="shared" si="4"/>
        <v>8.9602424567099104E-2</v>
      </c>
      <c r="G12" s="1">
        <f t="shared" si="4"/>
        <v>2.8175942023807243E-2</v>
      </c>
      <c r="H12" s="1">
        <f t="shared" si="4"/>
        <v>1.9660850640117689E-2</v>
      </c>
      <c r="I12" s="1" t="str">
        <f t="shared" si="5"/>
        <v>---</v>
      </c>
    </row>
    <row r="13" spans="1:11" x14ac:dyDescent="0.25">
      <c r="A13" s="1">
        <f t="shared" si="0"/>
        <v>-1.0808900317313812</v>
      </c>
      <c r="B13" s="1">
        <f t="shared" si="1"/>
        <v>0.71856283444809121</v>
      </c>
      <c r="C13" s="1">
        <f t="shared" si="2"/>
        <v>-1.6883169538221647</v>
      </c>
      <c r="D13" s="1">
        <f t="shared" si="3"/>
        <v>1.2478551633728028</v>
      </c>
      <c r="E13" s="1">
        <f t="shared" si="4"/>
        <v>2.3896156481407527E-2</v>
      </c>
      <c r="F13" s="1">
        <f t="shared" si="4"/>
        <v>1.8351900000809662E-2</v>
      </c>
      <c r="G13" s="1">
        <f t="shared" si="4"/>
        <v>8.0093064890807142E-4</v>
      </c>
      <c r="H13" s="1">
        <f t="shared" si="4"/>
        <v>8.1182010688427564E-3</v>
      </c>
      <c r="I13" s="1" t="str">
        <f t="shared" si="5"/>
        <v>---</v>
      </c>
    </row>
    <row r="14" spans="1:11" x14ac:dyDescent="0.25">
      <c r="A14" s="1">
        <f t="shared" si="0"/>
        <v>-1.0925716390854203</v>
      </c>
      <c r="B14" s="1">
        <f t="shared" si="1"/>
        <v>0.71513604973493217</v>
      </c>
      <c r="C14" s="1">
        <f t="shared" si="2"/>
        <v>-1.6898557421915632</v>
      </c>
      <c r="D14" s="1">
        <f t="shared" si="3"/>
        <v>1.2457093011423495</v>
      </c>
      <c r="E14" s="1">
        <f t="shared" si="4"/>
        <v>1.1681607354039114E-2</v>
      </c>
      <c r="F14" s="1">
        <f t="shared" si="4"/>
        <v>3.4267847131590479E-3</v>
      </c>
      <c r="G14" s="1">
        <f t="shared" si="4"/>
        <v>1.5387883693984694E-3</v>
      </c>
      <c r="H14" s="1">
        <f t="shared" si="4"/>
        <v>2.1458622304533215E-3</v>
      </c>
      <c r="I14" s="1" t="str">
        <f t="shared" si="5"/>
        <v>---</v>
      </c>
    </row>
    <row r="15" spans="1:11" ht="15.75" thickBot="1" x14ac:dyDescent="0.3">
      <c r="A15" s="1">
        <f t="shared" si="0"/>
        <v>-1.0958149233808943</v>
      </c>
      <c r="B15" s="1">
        <f t="shared" si="1"/>
        <v>0.71434776704037151</v>
      </c>
      <c r="C15" s="1">
        <f t="shared" si="2"/>
        <v>-1.6904209278757776</v>
      </c>
      <c r="D15" s="1">
        <f t="shared" si="3"/>
        <v>1.2451785138682057</v>
      </c>
      <c r="E15" s="1">
        <f t="shared" si="4"/>
        <v>3.243284295473936E-3</v>
      </c>
      <c r="F15" s="1">
        <f t="shared" si="4"/>
        <v>7.8828269456066025E-4</v>
      </c>
      <c r="G15" s="1">
        <f t="shared" si="4"/>
        <v>5.6518568421437543E-4</v>
      </c>
      <c r="H15" s="1">
        <f t="shared" si="4"/>
        <v>5.3078727414379578E-4</v>
      </c>
      <c r="I15" s="1" t="str">
        <f t="shared" si="5"/>
        <v>---</v>
      </c>
    </row>
    <row r="16" spans="1:11" ht="15.75" thickBot="1" x14ac:dyDescent="0.3">
      <c r="A16" s="2">
        <f t="shared" si="0"/>
        <v>-1.0966256891235917</v>
      </c>
      <c r="B16" s="3">
        <f t="shared" si="1"/>
        <v>0.71413355370660581</v>
      </c>
      <c r="C16" s="3">
        <f t="shared" si="2"/>
        <v>-1.6905692242154864</v>
      </c>
      <c r="D16" s="4">
        <f t="shared" si="3"/>
        <v>1.2450420037331866</v>
      </c>
      <c r="E16" s="1">
        <f t="shared" si="4"/>
        <v>8.1076574269745016E-4</v>
      </c>
      <c r="F16" s="1">
        <f t="shared" si="4"/>
        <v>2.142133337657004E-4</v>
      </c>
      <c r="G16" s="1">
        <f t="shared" si="4"/>
        <v>1.4829633970880884E-4</v>
      </c>
      <c r="H16" s="1">
        <f t="shared" si="4"/>
        <v>1.3651013501903009E-4</v>
      </c>
      <c r="I16" s="1" t="str">
        <f t="shared" si="5"/>
        <v>вып</v>
      </c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6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6"/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2026-02-24T20:14:16Z</dcterms:modified>
</cp:coreProperties>
</file>